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ns\Desktop\"/>
    </mc:Choice>
  </mc:AlternateContent>
  <xr:revisionPtr revIDLastSave="0" documentId="8_{41112443-FF75-4FA5-A7BF-C9E3D99D4599}" xr6:coauthVersionLast="47" xr6:coauthVersionMax="47" xr10:uidLastSave="{00000000-0000-0000-0000-000000000000}"/>
  <bookViews>
    <workbookView xWindow="28680" yWindow="-120" windowWidth="29040" windowHeight="15720" activeTab="1" xr2:uid="{8161A2FA-77A5-400A-96C0-84650A94FA0D}"/>
  </bookViews>
  <sheets>
    <sheet name="E" sheetId="1" r:id="rId1"/>
    <sheet name="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9" i="1"/>
  <c r="C15" i="1" s="1"/>
  <c r="B19" i="3"/>
  <c r="B18" i="3"/>
  <c r="B17" i="3"/>
  <c r="A19" i="3"/>
  <c r="A18" i="3"/>
  <c r="A17" i="3"/>
  <c r="C19" i="3"/>
  <c r="F19" i="3" s="1"/>
  <c r="C18" i="3"/>
  <c r="F18" i="3" s="1"/>
  <c r="C14" i="1" l="1"/>
  <c r="C17" i="1"/>
  <c r="C13" i="1"/>
  <c r="C18" i="1"/>
  <c r="C19" i="1"/>
  <c r="C20" i="1"/>
  <c r="C16" i="1"/>
  <c r="C16" i="3"/>
  <c r="C15" i="3"/>
  <c r="F15" i="3" s="1"/>
  <c r="C14" i="3"/>
  <c r="F14" i="3" s="1"/>
  <c r="F17" i="3"/>
  <c r="C13" i="3"/>
  <c r="F13" i="3" s="1"/>
  <c r="C12" i="3"/>
  <c r="F12" i="3" s="1"/>
  <c r="F11" i="3"/>
  <c r="C21" i="1"/>
  <c r="F21" i="1" s="1"/>
  <c r="C22" i="1"/>
  <c r="F22" i="1" s="1"/>
  <c r="C6" i="1"/>
  <c r="A22" i="1"/>
  <c r="B22" i="1"/>
  <c r="F12" i="1"/>
  <c r="F16" i="3" l="1"/>
  <c r="F21" i="3" s="1"/>
  <c r="F15" i="1"/>
  <c r="F16" i="1"/>
  <c r="F20" i="3" l="1"/>
  <c r="F22" i="3" l="1"/>
  <c r="F20" i="1" l="1"/>
  <c r="F19" i="1"/>
  <c r="F23" i="1" s="1"/>
  <c r="F17" i="1"/>
  <c r="F18" i="1"/>
  <c r="F13" i="1"/>
  <c r="F14" i="1"/>
  <c r="F24" i="1" l="1"/>
  <c r="F25" i="1" s="1"/>
</calcChain>
</file>

<file path=xl/sharedStrings.xml><?xml version="1.0" encoding="utf-8"?>
<sst xmlns="http://schemas.openxmlformats.org/spreadsheetml/2006/main" count="136" uniqueCount="80">
  <si>
    <t>Case for E metering point</t>
  </si>
  <si>
    <t>English</t>
  </si>
  <si>
    <t>Dutch</t>
  </si>
  <si>
    <t>value</t>
  </si>
  <si>
    <t>unit</t>
  </si>
  <si>
    <t>comment</t>
  </si>
  <si>
    <t xml:space="preserve">KVB applicable </t>
  </si>
  <si>
    <t>Kleinverbruik van toepassing</t>
  </si>
  <si>
    <t>boolean</t>
  </si>
  <si>
    <t xml:space="preserve">Residence function </t>
  </si>
  <si>
    <t>Verblijfsfunctie</t>
  </si>
  <si>
    <t>Capacity tariff type</t>
  </si>
  <si>
    <t>Captar</t>
  </si>
  <si>
    <t>Stedin 3x25A</t>
  </si>
  <si>
    <t>kWh/year</t>
  </si>
  <si>
    <t>Net-metering applicable</t>
  </si>
  <si>
    <t>Saldering van toepassing</t>
  </si>
  <si>
    <t>Applicable if KVB segment</t>
  </si>
  <si>
    <t>Offer line (EN)</t>
  </si>
  <si>
    <t>Offerte regel (NL)</t>
  </si>
  <si>
    <t>Volume</t>
  </si>
  <si>
    <t>Volume unit</t>
  </si>
  <si>
    <t>tariff ex. vat (eur/unit)</t>
  </si>
  <si>
    <t>Subtotal (eur/year)</t>
  </si>
  <si>
    <t>Vat rate</t>
  </si>
  <si>
    <t>Fixed service fee</t>
  </si>
  <si>
    <t>Vaste leveringskosten</t>
  </si>
  <si>
    <t>year</t>
  </si>
  <si>
    <t>Wholesale market consumption</t>
  </si>
  <si>
    <t>Groothandelsmarkt inkoop</t>
  </si>
  <si>
    <t>Top-up fee consumption</t>
  </si>
  <si>
    <t>Inkoopvergoeding inkoop</t>
  </si>
  <si>
    <t>Wholesale market net production</t>
  </si>
  <si>
    <t>Groothandelsmarkt teruglevering</t>
  </si>
  <si>
    <t>Top-up fee net production</t>
  </si>
  <si>
    <t>Verkoopvergoeding teruglevering</t>
  </si>
  <si>
    <t>Energy tax (0-2.900)</t>
  </si>
  <si>
    <t>Energiebelasting 0 t/m 2.900 kWh</t>
  </si>
  <si>
    <t>Energy tax (2.900-10.000)</t>
  </si>
  <si>
    <t>Energy tax (10.000-50.000)</t>
  </si>
  <si>
    <t>Energy tax (50.000-10.000.000)</t>
  </si>
  <si>
    <t>Tax discount for residential application</t>
  </si>
  <si>
    <t>Vermindering energiebelasting</t>
  </si>
  <si>
    <t>day</t>
  </si>
  <si>
    <t>Total exclusive of VAT</t>
  </si>
  <si>
    <t>Totaalkosten per jaar exclusief btw</t>
  </si>
  <si>
    <t>per year/per jaar</t>
  </si>
  <si>
    <t>VAT</t>
  </si>
  <si>
    <t>BTW</t>
  </si>
  <si>
    <t>Total inclusive of VAT</t>
  </si>
  <si>
    <t>Totaalkosten per jaar inclusief btw</t>
  </si>
  <si>
    <t>Case for G metering point</t>
  </si>
  <si>
    <t>m³/year</t>
  </si>
  <si>
    <t>Energy tax (0-1.000)</t>
  </si>
  <si>
    <t>Energiebelasting 0 t/m 1.000 m³</t>
  </si>
  <si>
    <t>Energy tax (1.000-170.000)</t>
  </si>
  <si>
    <t>Energy tax (170.000-1.000.000)</t>
  </si>
  <si>
    <t>Energiebelasting 2.901 t/m 10.000 kWh</t>
  </si>
  <si>
    <t>Energiebelasting 10.001 t/m 50.000 kWh</t>
  </si>
  <si>
    <t>Energiebelasting 50.001 t/m 10.000.000 kWh</t>
  </si>
  <si>
    <t>Energiebelasting 1.001 t/m 170.000 m³</t>
  </si>
  <si>
    <t xml:space="preserve">Stedin G4 t/m G6 </t>
  </si>
  <si>
    <t>Usage from 0 till 500 m³/year</t>
  </si>
  <si>
    <t>Usage from 501 till 4000 m³/year</t>
  </si>
  <si>
    <t>Usage from 4001 till 40000 m³/year</t>
  </si>
  <si>
    <t>verbruik van  0 tot  500 m³/jaar</t>
  </si>
  <si>
    <t>Energiebelasting 170.001 t/m 1.000.000 m³</t>
  </si>
  <si>
    <t>*</t>
  </si>
  <si>
    <t>**</t>
  </si>
  <si>
    <t>Verbruik van 501 tot 4000 m³/jaar</t>
  </si>
  <si>
    <t>Verbruik 4001 tot 40000 m³/jaar</t>
  </si>
  <si>
    <t>***</t>
  </si>
  <si>
    <t>(Expected) Net consumption</t>
  </si>
  <si>
    <t xml:space="preserve">(Expected) Net production </t>
  </si>
  <si>
    <t>(Expected) Netmetered production</t>
  </si>
  <si>
    <t>(Verwachte) Netto verbruik</t>
  </si>
  <si>
    <t>(Verwacht) Netto productie</t>
  </si>
  <si>
    <t>(Verwachte) Gesaldeerd volume</t>
  </si>
  <si>
    <t>(Expected) consumption</t>
  </si>
  <si>
    <t>(Verwacht) jaarverbruik (SJV)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</si>
</sst>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* #,##0_ ;_ * \-#,##0_ ;_ * &quot;-&quot;??_ ;_ @_ "/>
    <numFmt numFmtId="165" formatCode="_ &quot;€&quot;\ * #,##0.00000_ ;_ &quot;€&quot;\ * \-#,##0.00000_ ;_ &quot;€&quot;\ * &quot;-&quot;?????_ ;_ @_ "/>
    <numFmt numFmtId="166" formatCode="&quot;€&quot;\ #,##0.00000;&quot;€&quot;\ \-#,##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30">
    <xf numFmtId="0" fontId="0" fillId="0" borderId="0" xfId="0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0" fontId="4" fillId="0" borderId="0" xfId="0" applyFont="1"/>
    <xf numFmtId="0" fontId="2" fillId="2" borderId="1" xfId="3"/>
    <xf numFmtId="0" fontId="4" fillId="0" borderId="0" xfId="0" applyFont="1" applyAlignment="1">
      <alignment horizontal="right"/>
    </xf>
    <xf numFmtId="44" fontId="0" fillId="0" borderId="0" xfId="2" applyFont="1"/>
    <xf numFmtId="164" fontId="2" fillId="2" borderId="1" xfId="1" applyNumberFormat="1" applyFont="1" applyFill="1" applyBorder="1"/>
    <xf numFmtId="164" fontId="3" fillId="3" borderId="1" xfId="1" applyNumberFormat="1" applyFont="1" applyFill="1" applyBorder="1"/>
    <xf numFmtId="0" fontId="0" fillId="0" borderId="2" xfId="0" applyBorder="1"/>
    <xf numFmtId="0" fontId="0" fillId="0" borderId="3" xfId="0" applyBorder="1"/>
    <xf numFmtId="3" fontId="0" fillId="0" borderId="3" xfId="0" applyNumberFormat="1" applyBorder="1"/>
    <xf numFmtId="44" fontId="0" fillId="0" borderId="4" xfId="2" applyFont="1" applyBorder="1"/>
    <xf numFmtId="0" fontId="0" fillId="0" borderId="5" xfId="0" applyBorder="1"/>
    <xf numFmtId="0" fontId="0" fillId="0" borderId="6" xfId="0" applyBorder="1"/>
    <xf numFmtId="3" fontId="0" fillId="0" borderId="6" xfId="0" applyNumberFormat="1" applyBorder="1"/>
    <xf numFmtId="44" fontId="0" fillId="0" borderId="7" xfId="2" applyFont="1" applyBorder="1"/>
    <xf numFmtId="9" fontId="0" fillId="0" borderId="0" xfId="0" applyNumberFormat="1"/>
    <xf numFmtId="44" fontId="4" fillId="0" borderId="0" xfId="2" applyFont="1"/>
    <xf numFmtId="0" fontId="2" fillId="2" borderId="1" xfId="3" applyAlignment="1">
      <alignment horizontal="right"/>
    </xf>
    <xf numFmtId="164" fontId="0" fillId="0" borderId="0" xfId="0" applyNumberFormat="1"/>
    <xf numFmtId="0" fontId="3" fillId="3" borderId="1" xfId="4" applyAlignment="1">
      <alignment horizontal="right"/>
    </xf>
    <xf numFmtId="165" fontId="0" fillId="0" borderId="0" xfId="2" applyNumberFormat="1" applyFont="1"/>
    <xf numFmtId="165" fontId="0" fillId="0" borderId="3" xfId="2" applyNumberFormat="1" applyFont="1" applyBorder="1"/>
    <xf numFmtId="165" fontId="0" fillId="0" borderId="6" xfId="2" applyNumberFormat="1" applyFont="1" applyBorder="1"/>
    <xf numFmtId="166" fontId="0" fillId="0" borderId="0" xfId="2" applyNumberFormat="1" applyFont="1"/>
    <xf numFmtId="166" fontId="0" fillId="0" borderId="3" xfId="2" applyNumberFormat="1" applyFont="1" applyBorder="1"/>
    <xf numFmtId="166" fontId="0" fillId="0" borderId="6" xfId="2" applyNumberFormat="1" applyFont="1" applyBorder="1"/>
    <xf numFmtId="164" fontId="2" fillId="2" borderId="0" xfId="1" applyNumberFormat="1" applyFont="1" applyFill="1" applyBorder="1" applyAlignment="1">
      <alignment horizontal="center"/>
    </xf>
  </cellXfs>
  <cellStyles count="5">
    <cellStyle name="Berekening" xfId="4" builtinId="22"/>
    <cellStyle name="Invoer" xfId="3" builtinId="20"/>
    <cellStyle name="Komma" xfId="1" builtinId="3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5908-5DC0-45B7-AF32-93F52A59384B}">
  <dimension ref="A1:G95"/>
  <sheetViews>
    <sheetView zoomScale="130" zoomScaleNormal="130" workbookViewId="0">
      <selection activeCell="C9" sqref="C9"/>
    </sheetView>
  </sheetViews>
  <sheetFormatPr defaultRowHeight="15" x14ac:dyDescent="0.25"/>
  <cols>
    <col min="1" max="1" width="32.28515625" bestFit="1" customWidth="1"/>
    <col min="2" max="2" width="42.140625" customWidth="1"/>
    <col min="3" max="3" width="13.140625" bestFit="1" customWidth="1"/>
    <col min="4" max="4" width="11" bestFit="1" customWidth="1"/>
    <col min="5" max="5" width="22" bestFit="1" customWidth="1"/>
    <col min="6" max="6" width="16.85546875" bestFit="1" customWidth="1"/>
    <col min="7" max="7" width="14.5703125" bestFit="1" customWidth="1"/>
  </cols>
  <sheetData>
    <row r="1" spans="1:7" x14ac:dyDescent="0.25">
      <c r="A1" s="4" t="s">
        <v>0</v>
      </c>
      <c r="B1" s="4"/>
    </row>
    <row r="2" spans="1:7" x14ac:dyDescent="0.25">
      <c r="A2" s="4" t="s">
        <v>1</v>
      </c>
      <c r="B2" s="4" t="s">
        <v>2</v>
      </c>
      <c r="C2" s="6" t="s">
        <v>3</v>
      </c>
      <c r="D2" s="4" t="s">
        <v>4</v>
      </c>
      <c r="E2" s="4" t="s">
        <v>5</v>
      </c>
    </row>
    <row r="3" spans="1:7" x14ac:dyDescent="0.25">
      <c r="A3" s="5" t="s">
        <v>6</v>
      </c>
      <c r="B3" s="5" t="s">
        <v>7</v>
      </c>
      <c r="C3" s="20">
        <v>1</v>
      </c>
      <c r="D3" t="s">
        <v>8</v>
      </c>
      <c r="E3" s="4"/>
    </row>
    <row r="4" spans="1:7" x14ac:dyDescent="0.25">
      <c r="A4" s="5" t="s">
        <v>9</v>
      </c>
      <c r="B4" s="5" t="s">
        <v>10</v>
      </c>
      <c r="C4" s="20">
        <v>1</v>
      </c>
      <c r="D4" t="s">
        <v>8</v>
      </c>
    </row>
    <row r="5" spans="1:7" x14ac:dyDescent="0.25">
      <c r="A5" s="5" t="s">
        <v>11</v>
      </c>
      <c r="B5" s="5" t="s">
        <v>12</v>
      </c>
      <c r="C5" s="20" t="s">
        <v>13</v>
      </c>
    </row>
    <row r="6" spans="1:7" x14ac:dyDescent="0.25">
      <c r="A6" t="s">
        <v>15</v>
      </c>
      <c r="B6" t="s">
        <v>16</v>
      </c>
      <c r="C6" s="22">
        <f>C3</f>
        <v>1</v>
      </c>
      <c r="D6" t="s">
        <v>8</v>
      </c>
      <c r="E6" t="s">
        <v>17</v>
      </c>
    </row>
    <row r="7" spans="1:7" x14ac:dyDescent="0.25">
      <c r="A7" t="s">
        <v>72</v>
      </c>
      <c r="B7" t="s">
        <v>75</v>
      </c>
      <c r="C7" s="9">
        <v>40000</v>
      </c>
      <c r="D7" t="s">
        <v>14</v>
      </c>
    </row>
    <row r="8" spans="1:7" x14ac:dyDescent="0.25">
      <c r="A8" t="s">
        <v>73</v>
      </c>
      <c r="B8" t="s">
        <v>76</v>
      </c>
      <c r="C8" s="9">
        <v>42000</v>
      </c>
      <c r="D8" t="s">
        <v>14</v>
      </c>
    </row>
    <row r="9" spans="1:7" x14ac:dyDescent="0.25">
      <c r="A9" t="s">
        <v>74</v>
      </c>
      <c r="B9" t="s">
        <v>77</v>
      </c>
      <c r="C9" s="9">
        <f>C7-C8</f>
        <v>-2000</v>
      </c>
      <c r="D9" t="s">
        <v>14</v>
      </c>
    </row>
    <row r="10" spans="1:7" x14ac:dyDescent="0.25">
      <c r="C10" s="21"/>
    </row>
    <row r="11" spans="1:7" x14ac:dyDescent="0.25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</row>
    <row r="12" spans="1:7" x14ac:dyDescent="0.25">
      <c r="A12" t="s">
        <v>25</v>
      </c>
      <c r="B12" t="s">
        <v>26</v>
      </c>
      <c r="C12">
        <v>1</v>
      </c>
      <c r="D12" t="s">
        <v>27</v>
      </c>
      <c r="E12" s="23">
        <v>60</v>
      </c>
      <c r="F12" s="7">
        <f>E12*C12</f>
        <v>60</v>
      </c>
      <c r="G12" s="18">
        <v>0.21</v>
      </c>
    </row>
    <row r="13" spans="1:7" x14ac:dyDescent="0.25">
      <c r="A13" s="10" t="s">
        <v>28</v>
      </c>
      <c r="B13" s="11" t="s">
        <v>29</v>
      </c>
      <c r="C13" s="12">
        <f>IF(C9&lt;=0,0,C9)</f>
        <v>0</v>
      </c>
      <c r="D13" s="11" t="s">
        <v>14</v>
      </c>
      <c r="E13" s="24">
        <v>7.0000000000000007E-2</v>
      </c>
      <c r="F13" s="13">
        <f t="shared" ref="F13:F22" si="0">E13*C13</f>
        <v>0</v>
      </c>
      <c r="G13" s="18">
        <v>0.21</v>
      </c>
    </row>
    <row r="14" spans="1:7" x14ac:dyDescent="0.25">
      <c r="A14" s="14" t="s">
        <v>30</v>
      </c>
      <c r="B14" s="15" t="s">
        <v>31</v>
      </c>
      <c r="C14" s="16">
        <f>IF(C9&lt;=0,0,C9)</f>
        <v>0</v>
      </c>
      <c r="D14" s="15" t="s">
        <v>14</v>
      </c>
      <c r="E14" s="25">
        <v>0.02</v>
      </c>
      <c r="F14" s="17">
        <f t="shared" si="0"/>
        <v>0</v>
      </c>
      <c r="G14" s="18">
        <v>0.21</v>
      </c>
    </row>
    <row r="15" spans="1:7" x14ac:dyDescent="0.25">
      <c r="A15" s="10" t="s">
        <v>32</v>
      </c>
      <c r="B15" s="11" t="s">
        <v>33</v>
      </c>
      <c r="C15" s="12">
        <f>IF(C9&lt;=0,-C9,0)</f>
        <v>2000</v>
      </c>
      <c r="D15" s="11" t="s">
        <v>14</v>
      </c>
      <c r="E15" s="24">
        <v>-0.04</v>
      </c>
      <c r="F15" s="13">
        <f t="shared" si="0"/>
        <v>-80</v>
      </c>
      <c r="G15" s="18">
        <v>0.21</v>
      </c>
    </row>
    <row r="16" spans="1:7" x14ac:dyDescent="0.25">
      <c r="A16" s="14" t="s">
        <v>34</v>
      </c>
      <c r="B16" s="15" t="s">
        <v>35</v>
      </c>
      <c r="C16" s="12">
        <f>IF(C9&lt;=0,-C9,0)</f>
        <v>2000</v>
      </c>
      <c r="D16" s="15" t="s">
        <v>14</v>
      </c>
      <c r="E16" s="25">
        <v>0.02</v>
      </c>
      <c r="F16" s="17">
        <f t="shared" si="0"/>
        <v>40</v>
      </c>
      <c r="G16" s="18">
        <v>0.21</v>
      </c>
    </row>
    <row r="17" spans="1:7" x14ac:dyDescent="0.25">
      <c r="A17" t="s">
        <v>36</v>
      </c>
      <c r="B17" t="s">
        <v>37</v>
      </c>
      <c r="C17" s="1">
        <f>MAX(0,MIN(2900,C9))</f>
        <v>0</v>
      </c>
      <c r="D17" t="s">
        <v>14</v>
      </c>
      <c r="E17" s="23">
        <v>0.10154000000000001</v>
      </c>
      <c r="F17" s="7">
        <f>E17*C17</f>
        <v>0</v>
      </c>
      <c r="G17" s="18">
        <v>0.21</v>
      </c>
    </row>
    <row r="18" spans="1:7" x14ac:dyDescent="0.25">
      <c r="A18" t="s">
        <v>38</v>
      </c>
      <c r="B18" t="s">
        <v>57</v>
      </c>
      <c r="C18" s="1">
        <f>MAX(0, MIN(10000,C9)- 2900)</f>
        <v>0</v>
      </c>
      <c r="D18" t="s">
        <v>14</v>
      </c>
      <c r="E18" s="23">
        <v>0.10154000000000001</v>
      </c>
      <c r="F18" s="7">
        <f t="shared" si="0"/>
        <v>0</v>
      </c>
      <c r="G18" s="18">
        <v>0.21</v>
      </c>
    </row>
    <row r="19" spans="1:7" x14ac:dyDescent="0.25">
      <c r="A19" t="s">
        <v>39</v>
      </c>
      <c r="B19" t="s">
        <v>58</v>
      </c>
      <c r="C19" s="1">
        <f>MAX(0,MIN(50000,C9)-10000)</f>
        <v>0</v>
      </c>
      <c r="D19" t="s">
        <v>14</v>
      </c>
      <c r="E19" s="23">
        <v>6.9370000000000001E-2</v>
      </c>
      <c r="F19" s="7">
        <f t="shared" si="0"/>
        <v>0</v>
      </c>
      <c r="G19" s="18">
        <v>0.21</v>
      </c>
    </row>
    <row r="20" spans="1:7" x14ac:dyDescent="0.25">
      <c r="A20" t="s">
        <v>40</v>
      </c>
      <c r="B20" t="s">
        <v>59</v>
      </c>
      <c r="C20" s="1">
        <f>MAX(0,C9-50000)</f>
        <v>0</v>
      </c>
      <c r="D20" t="s">
        <v>14</v>
      </c>
      <c r="E20" s="23">
        <v>3.8679999999999999E-3</v>
      </c>
      <c r="F20" s="7">
        <f t="shared" si="0"/>
        <v>0</v>
      </c>
      <c r="G20" s="18">
        <v>0.21</v>
      </c>
    </row>
    <row r="21" spans="1:7" x14ac:dyDescent="0.25">
      <c r="A21" t="s">
        <v>41</v>
      </c>
      <c r="B21" t="s">
        <v>42</v>
      </c>
      <c r="C21">
        <f>IF(C4,1,0)</f>
        <v>1</v>
      </c>
      <c r="D21" t="s">
        <v>27</v>
      </c>
      <c r="E21" s="23">
        <v>-524.95000000000005</v>
      </c>
      <c r="F21" s="7">
        <f t="shared" si="0"/>
        <v>-524.95000000000005</v>
      </c>
      <c r="G21" s="18">
        <v>0.21</v>
      </c>
    </row>
    <row r="22" spans="1:7" x14ac:dyDescent="0.25">
      <c r="A22" t="str">
        <f>_xlfn.CONCAT("Grid operator costs ",C5)</f>
        <v>Grid operator costs Stedin 3x25A</v>
      </c>
      <c r="B22" t="str">
        <f>_xlfn.CONCAT("Netbeheerkosten ",C5)</f>
        <v>Netbeheerkosten Stedin 3x25A</v>
      </c>
      <c r="C22">
        <f>IF(C3,365,0)</f>
        <v>365</v>
      </c>
      <c r="D22" t="s">
        <v>43</v>
      </c>
      <c r="E22" s="23">
        <v>1.0727</v>
      </c>
      <c r="F22" s="7">
        <f t="shared" si="0"/>
        <v>391.53550000000001</v>
      </c>
      <c r="G22" s="18">
        <v>0.21</v>
      </c>
    </row>
    <row r="23" spans="1:7" x14ac:dyDescent="0.25">
      <c r="A23" s="4" t="s">
        <v>44</v>
      </c>
      <c r="B23" s="4" t="s">
        <v>45</v>
      </c>
      <c r="E23" s="7"/>
      <c r="F23" s="19">
        <f>SUM(F12:F22)</f>
        <v>-113.41450000000003</v>
      </c>
      <c r="G23" t="s">
        <v>46</v>
      </c>
    </row>
    <row r="24" spans="1:7" x14ac:dyDescent="0.25">
      <c r="A24" t="s">
        <v>47</v>
      </c>
      <c r="B24" t="s">
        <v>48</v>
      </c>
      <c r="E24" s="7"/>
      <c r="F24" s="7">
        <f>SUMPRODUCT(F12:F22,G12:G22)</f>
        <v>-23.817045000000007</v>
      </c>
      <c r="G24" t="s">
        <v>46</v>
      </c>
    </row>
    <row r="25" spans="1:7" x14ac:dyDescent="0.25">
      <c r="A25" s="4" t="s">
        <v>49</v>
      </c>
      <c r="B25" s="4" t="s">
        <v>50</v>
      </c>
      <c r="E25" s="7"/>
      <c r="F25" s="19">
        <f>SUM(F23:F24)</f>
        <v>-137.23154500000004</v>
      </c>
      <c r="G25" t="s">
        <v>46</v>
      </c>
    </row>
    <row r="39" spans="5:7" x14ac:dyDescent="0.25">
      <c r="G39" s="2"/>
    </row>
    <row r="42" spans="5:7" x14ac:dyDescent="0.25">
      <c r="G42" s="2"/>
    </row>
    <row r="43" spans="5:7" x14ac:dyDescent="0.25">
      <c r="E43" s="1"/>
      <c r="G43" s="2"/>
    </row>
    <row r="44" spans="5:7" x14ac:dyDescent="0.25">
      <c r="E44" s="1"/>
      <c r="G44" s="2"/>
    </row>
    <row r="45" spans="5:7" x14ac:dyDescent="0.25">
      <c r="E45" s="1"/>
      <c r="G45" s="2"/>
    </row>
    <row r="46" spans="5:7" x14ac:dyDescent="0.25">
      <c r="E46" s="1"/>
      <c r="G46" s="2"/>
    </row>
    <row r="47" spans="5:7" x14ac:dyDescent="0.25">
      <c r="E47" s="1"/>
      <c r="G47" s="2"/>
    </row>
    <row r="48" spans="5:7" x14ac:dyDescent="0.25">
      <c r="G48" s="2"/>
    </row>
    <row r="49" spans="5:7" x14ac:dyDescent="0.25">
      <c r="G49" s="2"/>
    </row>
    <row r="50" spans="5:7" x14ac:dyDescent="0.25">
      <c r="G50" s="2"/>
    </row>
    <row r="51" spans="5:7" x14ac:dyDescent="0.25">
      <c r="G51" s="2"/>
    </row>
    <row r="52" spans="5:7" x14ac:dyDescent="0.25">
      <c r="G52" s="2"/>
    </row>
    <row r="55" spans="5:7" x14ac:dyDescent="0.25">
      <c r="E55" s="1"/>
      <c r="G55" s="2"/>
    </row>
    <row r="56" spans="5:7" x14ac:dyDescent="0.25">
      <c r="E56" s="1"/>
      <c r="G56" s="2"/>
    </row>
    <row r="57" spans="5:7" x14ac:dyDescent="0.25">
      <c r="E57" s="1"/>
      <c r="G57" s="2"/>
    </row>
    <row r="58" spans="5:7" x14ac:dyDescent="0.25">
      <c r="E58" s="1"/>
      <c r="G58" s="2"/>
    </row>
    <row r="59" spans="5:7" x14ac:dyDescent="0.25">
      <c r="E59" s="1"/>
      <c r="G59" s="2"/>
    </row>
    <row r="60" spans="5:7" x14ac:dyDescent="0.25">
      <c r="E60" s="1"/>
      <c r="G60" s="2"/>
    </row>
    <row r="61" spans="5:7" x14ac:dyDescent="0.25">
      <c r="G61" s="2"/>
    </row>
    <row r="62" spans="5:7" x14ac:dyDescent="0.25">
      <c r="G62" s="2"/>
    </row>
    <row r="63" spans="5:7" x14ac:dyDescent="0.25">
      <c r="G63" s="2"/>
    </row>
    <row r="67" spans="5:7" x14ac:dyDescent="0.25">
      <c r="G67" s="2"/>
    </row>
    <row r="68" spans="5:7" x14ac:dyDescent="0.25">
      <c r="E68" s="1"/>
      <c r="G68" s="2"/>
    </row>
    <row r="69" spans="5:7" x14ac:dyDescent="0.25">
      <c r="E69" s="1"/>
      <c r="G69" s="2"/>
    </row>
    <row r="70" spans="5:7" x14ac:dyDescent="0.25">
      <c r="E70" s="1"/>
      <c r="G70" s="2"/>
    </row>
    <row r="71" spans="5:7" x14ac:dyDescent="0.25">
      <c r="E71" s="1"/>
      <c r="G71" s="2"/>
    </row>
    <row r="72" spans="5:7" x14ac:dyDescent="0.25">
      <c r="E72" s="1"/>
      <c r="G72" s="2"/>
    </row>
    <row r="73" spans="5:7" x14ac:dyDescent="0.25">
      <c r="E73" s="1"/>
      <c r="G73" s="2"/>
    </row>
    <row r="74" spans="5:7" x14ac:dyDescent="0.25">
      <c r="E74" s="1"/>
      <c r="G74" s="2"/>
    </row>
    <row r="75" spans="5:7" x14ac:dyDescent="0.25">
      <c r="E75" s="3"/>
      <c r="G75" s="2"/>
    </row>
    <row r="76" spans="5:7" x14ac:dyDescent="0.25">
      <c r="E76" s="3"/>
      <c r="G76" s="2"/>
    </row>
    <row r="77" spans="5:7" x14ac:dyDescent="0.25">
      <c r="G77" s="2"/>
    </row>
    <row r="78" spans="5:7" x14ac:dyDescent="0.25">
      <c r="G78" s="2"/>
    </row>
    <row r="79" spans="5:7" x14ac:dyDescent="0.25">
      <c r="G79" s="2"/>
    </row>
    <row r="83" spans="5:7" x14ac:dyDescent="0.25">
      <c r="G83" s="2"/>
    </row>
    <row r="84" spans="5:7" x14ac:dyDescent="0.25">
      <c r="E84" s="1"/>
      <c r="G84" s="2"/>
    </row>
    <row r="85" spans="5:7" x14ac:dyDescent="0.25">
      <c r="E85" s="1"/>
      <c r="G85" s="2"/>
    </row>
    <row r="86" spans="5:7" x14ac:dyDescent="0.25">
      <c r="E86" s="1"/>
      <c r="G86" s="2"/>
    </row>
    <row r="87" spans="5:7" x14ac:dyDescent="0.25">
      <c r="E87" s="1"/>
      <c r="G87" s="2"/>
    </row>
    <row r="88" spans="5:7" x14ac:dyDescent="0.25">
      <c r="E88" s="1"/>
      <c r="G88" s="2"/>
    </row>
    <row r="89" spans="5:7" x14ac:dyDescent="0.25">
      <c r="E89" s="1"/>
      <c r="G89" s="2"/>
    </row>
    <row r="90" spans="5:7" x14ac:dyDescent="0.25">
      <c r="E90" s="1"/>
      <c r="G90" s="2"/>
    </row>
    <row r="92" spans="5:7" x14ac:dyDescent="0.25">
      <c r="G92" s="2"/>
    </row>
    <row r="93" spans="5:7" x14ac:dyDescent="0.25">
      <c r="G93" s="2"/>
    </row>
    <row r="94" spans="5:7" x14ac:dyDescent="0.25">
      <c r="G94" s="2"/>
    </row>
    <row r="95" spans="5:7" x14ac:dyDescent="0.25">
      <c r="G9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3CB9-85FC-4C2A-A566-46529955EC41}">
  <dimension ref="A1:G92"/>
  <sheetViews>
    <sheetView tabSelected="1" zoomScale="160" zoomScaleNormal="160" workbookViewId="0">
      <selection activeCell="C6" sqref="C6"/>
    </sheetView>
  </sheetViews>
  <sheetFormatPr defaultRowHeight="15" x14ac:dyDescent="0.25"/>
  <cols>
    <col min="1" max="1" width="36" customWidth="1"/>
    <col min="2" max="2" width="42.28515625" customWidth="1"/>
    <col min="3" max="3" width="19.5703125" customWidth="1"/>
    <col min="4" max="4" width="11" bestFit="1" customWidth="1"/>
    <col min="5" max="5" width="22" bestFit="1" customWidth="1"/>
    <col min="6" max="6" width="16.85546875" bestFit="1" customWidth="1"/>
    <col min="7" max="7" width="14.5703125" bestFit="1" customWidth="1"/>
  </cols>
  <sheetData>
    <row r="1" spans="1:7" x14ac:dyDescent="0.25">
      <c r="A1" s="4" t="s">
        <v>51</v>
      </c>
      <c r="B1" s="4"/>
    </row>
    <row r="2" spans="1:7" x14ac:dyDescent="0.25">
      <c r="A2" s="4" t="s">
        <v>1</v>
      </c>
      <c r="B2" s="4" t="s">
        <v>2</v>
      </c>
      <c r="C2" s="6" t="s">
        <v>3</v>
      </c>
      <c r="D2" s="4" t="s">
        <v>4</v>
      </c>
      <c r="E2" s="4" t="s">
        <v>5</v>
      </c>
    </row>
    <row r="3" spans="1:7" x14ac:dyDescent="0.25">
      <c r="A3" s="5" t="s">
        <v>6</v>
      </c>
      <c r="B3" s="5" t="s">
        <v>7</v>
      </c>
      <c r="C3" s="20">
        <v>0</v>
      </c>
      <c r="D3" t="s">
        <v>8</v>
      </c>
      <c r="E3" s="4"/>
    </row>
    <row r="4" spans="1:7" x14ac:dyDescent="0.25">
      <c r="A4" s="5" t="s">
        <v>11</v>
      </c>
      <c r="B4" s="5" t="s">
        <v>12</v>
      </c>
      <c r="C4" s="20" t="s">
        <v>61</v>
      </c>
    </row>
    <row r="5" spans="1:7" x14ac:dyDescent="0.25">
      <c r="A5" s="5" t="s">
        <v>78</v>
      </c>
      <c r="B5" s="5" t="s">
        <v>79</v>
      </c>
      <c r="C5" s="8">
        <v>12000</v>
      </c>
      <c r="D5" t="s">
        <v>52</v>
      </c>
    </row>
    <row r="6" spans="1:7" x14ac:dyDescent="0.25">
      <c r="A6" s="5" t="s">
        <v>62</v>
      </c>
      <c r="B6" s="5" t="s">
        <v>65</v>
      </c>
      <c r="C6" s="29" t="s">
        <v>67</v>
      </c>
    </row>
    <row r="7" spans="1:7" x14ac:dyDescent="0.25">
      <c r="A7" s="5" t="s">
        <v>63</v>
      </c>
      <c r="B7" s="5" t="s">
        <v>69</v>
      </c>
      <c r="C7" s="29" t="s">
        <v>68</v>
      </c>
    </row>
    <row r="8" spans="1:7" x14ac:dyDescent="0.25">
      <c r="A8" s="5" t="s">
        <v>64</v>
      </c>
      <c r="B8" s="5" t="s">
        <v>70</v>
      </c>
      <c r="C8" s="29" t="s">
        <v>71</v>
      </c>
    </row>
    <row r="9" spans="1:7" x14ac:dyDescent="0.25">
      <c r="C9" s="21"/>
    </row>
    <row r="10" spans="1:7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</row>
    <row r="11" spans="1:7" x14ac:dyDescent="0.25">
      <c r="A11" t="s">
        <v>25</v>
      </c>
      <c r="B11" t="s">
        <v>26</v>
      </c>
      <c r="C11">
        <v>1</v>
      </c>
      <c r="D11" t="s">
        <v>27</v>
      </c>
      <c r="E11" s="26">
        <v>60</v>
      </c>
      <c r="F11" s="7">
        <f>E11*C11</f>
        <v>60</v>
      </c>
      <c r="G11" s="18">
        <v>0.21</v>
      </c>
    </row>
    <row r="12" spans="1:7" x14ac:dyDescent="0.25">
      <c r="A12" s="10" t="s">
        <v>28</v>
      </c>
      <c r="B12" s="11" t="s">
        <v>29</v>
      </c>
      <c r="C12" s="12">
        <f>C5</f>
        <v>12000</v>
      </c>
      <c r="D12" t="s">
        <v>52</v>
      </c>
      <c r="E12" s="27">
        <v>0.31</v>
      </c>
      <c r="F12" s="13">
        <f t="shared" ref="F12:F19" si="0">E12*C12</f>
        <v>3720</v>
      </c>
      <c r="G12" s="18">
        <v>0.21</v>
      </c>
    </row>
    <row r="13" spans="1:7" x14ac:dyDescent="0.25">
      <c r="A13" s="14" t="s">
        <v>30</v>
      </c>
      <c r="B13" s="15" t="s">
        <v>31</v>
      </c>
      <c r="C13" s="16">
        <f>C5</f>
        <v>12000</v>
      </c>
      <c r="D13" t="s">
        <v>52</v>
      </c>
      <c r="E13" s="28">
        <v>0.08</v>
      </c>
      <c r="F13" s="17">
        <f t="shared" si="0"/>
        <v>960</v>
      </c>
      <c r="G13" s="18">
        <v>0.21</v>
      </c>
    </row>
    <row r="14" spans="1:7" x14ac:dyDescent="0.25">
      <c r="A14" t="s">
        <v>53</v>
      </c>
      <c r="B14" t="s">
        <v>54</v>
      </c>
      <c r="C14" s="1">
        <f>MIN(1000,$C$5)</f>
        <v>1000</v>
      </c>
      <c r="D14" t="s">
        <v>52</v>
      </c>
      <c r="E14" s="26">
        <v>0.57816000000000001</v>
      </c>
      <c r="F14" s="7">
        <f t="shared" ref="F14" si="1">E14*C14</f>
        <v>578.16</v>
      </c>
      <c r="G14" s="18">
        <v>0.21</v>
      </c>
    </row>
    <row r="15" spans="1:7" x14ac:dyDescent="0.25">
      <c r="A15" t="s">
        <v>55</v>
      </c>
      <c r="B15" t="s">
        <v>60</v>
      </c>
      <c r="C15" s="1">
        <f>MAX(0,MIN(170000,$C$5)-1000)</f>
        <v>11000</v>
      </c>
      <c r="D15" t="s">
        <v>52</v>
      </c>
      <c r="E15" s="26">
        <v>0.57816000000000001</v>
      </c>
      <c r="F15" s="7">
        <f t="shared" si="0"/>
        <v>6359.76</v>
      </c>
      <c r="G15" s="18">
        <v>0.21</v>
      </c>
    </row>
    <row r="16" spans="1:7" x14ac:dyDescent="0.25">
      <c r="A16" t="s">
        <v>56</v>
      </c>
      <c r="B16" t="s">
        <v>66</v>
      </c>
      <c r="C16" s="1">
        <f>MAX(0,MIN(1000000,$C$5)-170000)</f>
        <v>0</v>
      </c>
      <c r="D16" t="s">
        <v>52</v>
      </c>
      <c r="E16" s="26">
        <v>0.31573000000000001</v>
      </c>
      <c r="F16" s="7">
        <f t="shared" si="0"/>
        <v>0</v>
      </c>
      <c r="G16" s="18">
        <v>0.21</v>
      </c>
    </row>
    <row r="17" spans="1:7" x14ac:dyDescent="0.25">
      <c r="A17" t="str">
        <f>_xlfn.CONCAT("Grid operator costs ",C4,C6)</f>
        <v>Grid operator costs Stedin G4 t/m G6 *</v>
      </c>
      <c r="B17" t="str">
        <f>_xlfn.CONCAT("Netbeheerkosten ",C4,C6)</f>
        <v>Netbeheerkosten Stedin G4 t/m G6 *</v>
      </c>
      <c r="C17">
        <f>IF(C5&lt;=500, 365, 0)</f>
        <v>0</v>
      </c>
      <c r="D17" t="s">
        <v>43</v>
      </c>
      <c r="E17" s="26">
        <v>0.42180000000000001</v>
      </c>
      <c r="F17" s="7">
        <f t="shared" si="0"/>
        <v>0</v>
      </c>
      <c r="G17" s="18">
        <v>0.21</v>
      </c>
    </row>
    <row r="18" spans="1:7" x14ac:dyDescent="0.25">
      <c r="A18" t="str">
        <f>_xlfn.CONCAT("Grid operator costs ",C4,C7)</f>
        <v>Grid operator costs Stedin G4 t/m G6 **</v>
      </c>
      <c r="B18" t="str">
        <f>_xlfn.CONCAT("Netbeheerkosten ",C4,C7)</f>
        <v>Netbeheerkosten Stedin G4 t/m G6 **</v>
      </c>
      <c r="C18">
        <f>IF(AND(C5&gt;500, C5&lt;=4000), 365, 0)</f>
        <v>0</v>
      </c>
      <c r="D18" t="s">
        <v>43</v>
      </c>
      <c r="E18" s="26">
        <v>0.58740000000000003</v>
      </c>
      <c r="F18" s="7">
        <f t="shared" si="0"/>
        <v>0</v>
      </c>
      <c r="G18" s="18">
        <v>0.21</v>
      </c>
    </row>
    <row r="19" spans="1:7" x14ac:dyDescent="0.25">
      <c r="A19" t="str">
        <f>_xlfn.CONCAT("Grid operator costs ",C4,C8)</f>
        <v>Grid operator costs Stedin G4 t/m G6 ***</v>
      </c>
      <c r="B19" t="str">
        <f>_xlfn.CONCAT("Netbeheerkosten ",C4,C8)</f>
        <v>Netbeheerkosten Stedin G4 t/m G6 ***</v>
      </c>
      <c r="C19" s="1">
        <f>IF(C5&gt;4000, 365, 0)</f>
        <v>365</v>
      </c>
      <c r="D19" t="s">
        <v>43</v>
      </c>
      <c r="E19" s="26">
        <v>0.91849999999999998</v>
      </c>
      <c r="F19" s="7">
        <f t="shared" si="0"/>
        <v>335.2525</v>
      </c>
      <c r="G19" s="18">
        <v>0.21</v>
      </c>
    </row>
    <row r="20" spans="1:7" x14ac:dyDescent="0.25">
      <c r="A20" s="4" t="s">
        <v>44</v>
      </c>
      <c r="B20" s="4" t="s">
        <v>45</v>
      </c>
      <c r="E20" s="7"/>
      <c r="F20" s="19">
        <f>SUM(F11:F19)</f>
        <v>12013.172500000001</v>
      </c>
      <c r="G20" t="s">
        <v>46</v>
      </c>
    </row>
    <row r="21" spans="1:7" x14ac:dyDescent="0.25">
      <c r="A21" t="s">
        <v>47</v>
      </c>
      <c r="B21" t="s">
        <v>48</v>
      </c>
      <c r="E21" s="7"/>
      <c r="F21" s="7">
        <f>SUMPRODUCT(F11:F19,G11:G19)</f>
        <v>2522.7662249999998</v>
      </c>
      <c r="G21" t="s">
        <v>46</v>
      </c>
    </row>
    <row r="22" spans="1:7" x14ac:dyDescent="0.25">
      <c r="A22" s="4" t="s">
        <v>49</v>
      </c>
      <c r="B22" s="4" t="s">
        <v>50</v>
      </c>
      <c r="E22" s="7"/>
      <c r="F22" s="19">
        <f>SUM(F20:F21)</f>
        <v>14535.938725</v>
      </c>
      <c r="G22" t="s">
        <v>46</v>
      </c>
    </row>
    <row r="36" spans="5:7" x14ac:dyDescent="0.25">
      <c r="G36" s="2"/>
    </row>
    <row r="39" spans="5:7" x14ac:dyDescent="0.25">
      <c r="G39" s="2"/>
    </row>
    <row r="40" spans="5:7" x14ac:dyDescent="0.25">
      <c r="E40" s="1"/>
      <c r="G40" s="2"/>
    </row>
    <row r="41" spans="5:7" x14ac:dyDescent="0.25">
      <c r="E41" s="1"/>
      <c r="G41" s="2"/>
    </row>
    <row r="42" spans="5:7" x14ac:dyDescent="0.25">
      <c r="E42" s="1"/>
      <c r="G42" s="2"/>
    </row>
    <row r="43" spans="5:7" x14ac:dyDescent="0.25">
      <c r="E43" s="1"/>
      <c r="G43" s="2"/>
    </row>
    <row r="44" spans="5:7" x14ac:dyDescent="0.25">
      <c r="E44" s="1"/>
      <c r="G44" s="2"/>
    </row>
    <row r="45" spans="5:7" x14ac:dyDescent="0.25">
      <c r="G45" s="2"/>
    </row>
    <row r="46" spans="5:7" x14ac:dyDescent="0.25">
      <c r="G46" s="2"/>
    </row>
    <row r="47" spans="5:7" x14ac:dyDescent="0.25">
      <c r="G47" s="2"/>
    </row>
    <row r="48" spans="5:7" x14ac:dyDescent="0.25">
      <c r="G48" s="2"/>
    </row>
    <row r="49" spans="5:7" x14ac:dyDescent="0.25">
      <c r="G49" s="2"/>
    </row>
    <row r="52" spans="5:7" x14ac:dyDescent="0.25">
      <c r="E52" s="1"/>
      <c r="G52" s="2"/>
    </row>
    <row r="53" spans="5:7" x14ac:dyDescent="0.25">
      <c r="E53" s="1"/>
      <c r="G53" s="2"/>
    </row>
    <row r="54" spans="5:7" x14ac:dyDescent="0.25">
      <c r="E54" s="1"/>
      <c r="G54" s="2"/>
    </row>
    <row r="55" spans="5:7" x14ac:dyDescent="0.25">
      <c r="E55" s="1"/>
      <c r="G55" s="2"/>
    </row>
    <row r="56" spans="5:7" x14ac:dyDescent="0.25">
      <c r="E56" s="1"/>
      <c r="G56" s="2"/>
    </row>
    <row r="57" spans="5:7" x14ac:dyDescent="0.25">
      <c r="E57" s="1"/>
      <c r="G57" s="2"/>
    </row>
    <row r="58" spans="5:7" x14ac:dyDescent="0.25">
      <c r="G58" s="2"/>
    </row>
    <row r="59" spans="5:7" x14ac:dyDescent="0.25">
      <c r="G59" s="2"/>
    </row>
    <row r="60" spans="5:7" x14ac:dyDescent="0.25">
      <c r="G60" s="2"/>
    </row>
    <row r="64" spans="5:7" x14ac:dyDescent="0.25">
      <c r="G64" s="2"/>
    </row>
    <row r="65" spans="5:7" x14ac:dyDescent="0.25">
      <c r="E65" s="1"/>
      <c r="G65" s="2"/>
    </row>
    <row r="66" spans="5:7" x14ac:dyDescent="0.25">
      <c r="E66" s="1"/>
      <c r="G66" s="2"/>
    </row>
    <row r="67" spans="5:7" x14ac:dyDescent="0.25">
      <c r="E67" s="1"/>
      <c r="G67" s="2"/>
    </row>
    <row r="68" spans="5:7" x14ac:dyDescent="0.25">
      <c r="E68" s="1"/>
      <c r="G68" s="2"/>
    </row>
    <row r="69" spans="5:7" x14ac:dyDescent="0.25">
      <c r="E69" s="1"/>
      <c r="G69" s="2"/>
    </row>
    <row r="70" spans="5:7" x14ac:dyDescent="0.25">
      <c r="E70" s="1"/>
      <c r="G70" s="2"/>
    </row>
    <row r="71" spans="5:7" x14ac:dyDescent="0.25">
      <c r="E71" s="1"/>
      <c r="G71" s="2"/>
    </row>
    <row r="72" spans="5:7" x14ac:dyDescent="0.25">
      <c r="E72" s="3"/>
      <c r="G72" s="2"/>
    </row>
    <row r="73" spans="5:7" x14ac:dyDescent="0.25">
      <c r="E73" s="3"/>
      <c r="G73" s="2"/>
    </row>
    <row r="74" spans="5:7" x14ac:dyDescent="0.25">
      <c r="G74" s="2"/>
    </row>
    <row r="75" spans="5:7" x14ac:dyDescent="0.25">
      <c r="G75" s="2"/>
    </row>
    <row r="76" spans="5:7" x14ac:dyDescent="0.25">
      <c r="G76" s="2"/>
    </row>
    <row r="80" spans="5:7" x14ac:dyDescent="0.25">
      <c r="G80" s="2"/>
    </row>
    <row r="81" spans="5:7" x14ac:dyDescent="0.25">
      <c r="E81" s="1"/>
      <c r="G81" s="2"/>
    </row>
    <row r="82" spans="5:7" x14ac:dyDescent="0.25">
      <c r="E82" s="1"/>
      <c r="G82" s="2"/>
    </row>
    <row r="83" spans="5:7" x14ac:dyDescent="0.25">
      <c r="E83" s="1"/>
      <c r="G83" s="2"/>
    </row>
    <row r="84" spans="5:7" x14ac:dyDescent="0.25">
      <c r="E84" s="1"/>
      <c r="G84" s="2"/>
    </row>
    <row r="85" spans="5:7" x14ac:dyDescent="0.25">
      <c r="E85" s="1"/>
      <c r="G85" s="2"/>
    </row>
    <row r="86" spans="5:7" x14ac:dyDescent="0.25">
      <c r="E86" s="1"/>
      <c r="G86" s="2"/>
    </row>
    <row r="87" spans="5:7" x14ac:dyDescent="0.25">
      <c r="E87" s="1"/>
      <c r="G87" s="2"/>
    </row>
    <row r="89" spans="5:7" x14ac:dyDescent="0.25">
      <c r="G89" s="2"/>
    </row>
    <row r="90" spans="5:7" x14ac:dyDescent="0.25">
      <c r="G90" s="2"/>
    </row>
    <row r="91" spans="5:7" x14ac:dyDescent="0.25">
      <c r="G91" s="2"/>
    </row>
    <row r="92" spans="5:7" x14ac:dyDescent="0.25">
      <c r="G9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DAC0D2600B614D823B5471F558D4F4" ma:contentTypeVersion="4" ma:contentTypeDescription="Een nieuw document maken." ma:contentTypeScope="" ma:versionID="3a72e7d1ff27ce725cc54185ff2d6a44">
  <xsd:schema xmlns:xsd="http://www.w3.org/2001/XMLSchema" xmlns:xs="http://www.w3.org/2001/XMLSchema" xmlns:p="http://schemas.microsoft.com/office/2006/metadata/properties" xmlns:ns2="61977cdb-0fac-456c-9e74-78fecd859b50" targetNamespace="http://schemas.microsoft.com/office/2006/metadata/properties" ma:root="true" ma:fieldsID="31e9ec437fbf8e44db7970e4a6e2c150" ns2:_="">
    <xsd:import namespace="61977cdb-0fac-456c-9e74-78fecd859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77cdb-0fac-456c-9e74-78fecd859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0C471-9F3E-430C-9304-9C37AE2C87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867ECC-FC04-49D2-B6FA-7DA9ECE3BB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9D34F8-A3DB-4CD2-939B-F9E7DB018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77cdb-0fac-456c-9e74-78fecd859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</vt:lpstr>
      <vt:lpstr>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Trang Hang</dc:creator>
  <cp:keywords/>
  <dc:description/>
  <cp:lastModifiedBy>Trang Hang</cp:lastModifiedBy>
  <cp:revision/>
  <dcterms:created xsi:type="dcterms:W3CDTF">2023-10-30T09:45:45Z</dcterms:created>
  <dcterms:modified xsi:type="dcterms:W3CDTF">2025-07-22T11:45:00Z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0x01010039DAC0D2600B614D823B5471F558D4F4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